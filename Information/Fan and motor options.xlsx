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13_ncr:1_{71D8BA4E-B6EE-4528-AAF8-55023C58D5FD}" xr6:coauthVersionLast="47" xr6:coauthVersionMax="47" xr10:uidLastSave="{00000000-0000-0000-0000-000000000000}"/>
  <bookViews>
    <workbookView xWindow="-98" yWindow="-98" windowWidth="28996" windowHeight="15796" activeTab="2" xr2:uid="{D14282AC-4677-4621-8D89-A06E360973EE}"/>
  </bookViews>
  <sheets>
    <sheet name="Rough Options" sheetId="2" r:id="rId1"/>
    <sheet name="Comparison with Real Examples" sheetId="1" r:id="rId2"/>
    <sheet name="Budget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3" l="1"/>
  <c r="C8" i="3"/>
  <c r="I5" i="1"/>
  <c r="I6" i="1"/>
  <c r="I7" i="1"/>
  <c r="I8" i="1"/>
  <c r="I9" i="1"/>
  <c r="I4" i="1"/>
</calcChain>
</file>

<file path=xl/sharedStrings.xml><?xml version="1.0" encoding="utf-8"?>
<sst xmlns="http://schemas.openxmlformats.org/spreadsheetml/2006/main" count="70" uniqueCount="60">
  <si>
    <t>Motors &amp; Fans - SOLARSAFE</t>
  </si>
  <si>
    <t>Fan Type</t>
  </si>
  <si>
    <t>Power</t>
  </si>
  <si>
    <t>Computer</t>
  </si>
  <si>
    <t>Car Radiator</t>
  </si>
  <si>
    <t>Bilge Ventilator</t>
  </si>
  <si>
    <t>Voltage (V)</t>
  </si>
  <si>
    <t>Diameter (mm)</t>
  </si>
  <si>
    <t>76.2 - 101.6</t>
  </si>
  <si>
    <t>Static Pressure Rise (Pa)</t>
  </si>
  <si>
    <t>Price (£)</t>
  </si>
  <si>
    <t>Power (W)</t>
  </si>
  <si>
    <t>Volumetric Flow Rate (m^3/s)</t>
  </si>
  <si>
    <t>~250</t>
  </si>
  <si>
    <t>Example link</t>
  </si>
  <si>
    <t>https://www.amazon.co.uk/Inline-Blower%EF%BC%8C4-Blower-Marine-Ventilation/dp/B0932Z1LP3?source=ps-sl-shoppingads-lpcontext&amp;ref_=fplfs&amp;smid=A2KVF7QXNCLV8H&amp;th=1</t>
  </si>
  <si>
    <t>Fan type</t>
  </si>
  <si>
    <t>Airflow</t>
  </si>
  <si>
    <t>Static pressure</t>
  </si>
  <si>
    <t>PC axial fan</t>
  </si>
  <si>
    <t>Bathroom extractor</t>
  </si>
  <si>
    <t>Car radiator fan</t>
  </si>
  <si>
    <t>High</t>
  </si>
  <si>
    <t>Centrifugal blower / inline duct fan</t>
  </si>
  <si>
    <t>https://www.amazon.co.uk/ARCTIC-P12-SLIM-PWM-Pressure-optimised/dp/B08QDKGCCW?source=ps-sl-shoppingads-lpcontext&amp;ref_=fplfs&amp;smid=AUBM4K0YLFI9J&amp;th=1</t>
  </si>
  <si>
    <t>~30</t>
  </si>
  <si>
    <t>203.2 - 406.4</t>
  </si>
  <si>
    <t>20 - 40</t>
  </si>
  <si>
    <t>5 - 20</t>
  </si>
  <si>
    <t>https://shop.stoneyracing.com/products/universal-slimline-12v-electric-car-radiator-intercooler-ac-cooling-fan?srsltid=AfmBOoo7JHylIw_JvM2tWvaNghzZTd8tlMrAYMGBz7QzQJQGJk4nQ3t07ws</t>
  </si>
  <si>
    <t>~140</t>
  </si>
  <si>
    <t>Bathroom Extractor</t>
  </si>
  <si>
    <t>https://www.screwfix.com/p/xpelair-vx100t-100mm-4-axial-bathroom-extractor-fan-with-timer-white-220-240v/2659d</t>
  </si>
  <si>
    <t>20 - 80</t>
  </si>
  <si>
    <t>~60</t>
  </si>
  <si>
    <t>~: data does not come from product page but is infered from general performance of fans of this design</t>
  </si>
  <si>
    <t>Low</t>
  </si>
  <si>
    <t>Medium</t>
  </si>
  <si>
    <t>Medium - High</t>
  </si>
  <si>
    <t>https://www.ebay.co.uk/itm/137080143677?var=0&amp;mkevt=1&amp;mkcid=1&amp;mkrid=710-53481-19255-0&amp;campid=5338749401&amp;toolid=20006&amp;_ul=GB&amp;customid=Cj0KCQjwoMXQBhDcARIsAH-eEtvwwrUcYx8qlCECaPyOTlT3zNucEtLg2vZBcjWcYfI1iEKK_Z8MxlwaArsYEALw_wcB|0AAAAADihhqUscqrt4X8StZbykCGLWemUz|Cj8KCQjw_b_QBhDzARIuAJnMvpvNfBinH8ct2iXrbJZ-OHEV34c7469rB-GmRb3zRGhanEQkx3L0WnvbmRoCbQ0&amp;loc_interest_ms=&amp;loc_physical_ms=9044914&amp;adtype=pla&amp;gad_source=1&amp;gad_campaignid=22857718300</t>
  </si>
  <si>
    <t>Inline Duct Fan</t>
  </si>
  <si>
    <t>~80</t>
  </si>
  <si>
    <t>Centrifugal Duct Fan</t>
  </si>
  <si>
    <t>https://www.techvent.co.uk/centro-in-line-centrifugal-tube-duct-mounting-extraction-fan?gad_source=1&amp;gad_campaignid=23871384923#158=337</t>
  </si>
  <si>
    <t>~300</t>
  </si>
  <si>
    <t>240 AC</t>
  </si>
  <si>
    <t>Components</t>
  </si>
  <si>
    <t>Peltier</t>
  </si>
  <si>
    <t>Shroud/Duct</t>
  </si>
  <si>
    <t>Fan/Motor</t>
  </si>
  <si>
    <t>Heating Elements</t>
  </si>
  <si>
    <t>Humidity Sensors</t>
  </si>
  <si>
    <t>Temperature Sensors</t>
  </si>
  <si>
    <t>Control Board</t>
  </si>
  <si>
    <t>Heat Sinks</t>
  </si>
  <si>
    <t>Price</t>
  </si>
  <si>
    <t>Source</t>
  </si>
  <si>
    <t>The Pi Hut</t>
  </si>
  <si>
    <t>RS-online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</si>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</sst>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2" fillId="0" borderId="4" xfId="1" applyBorder="1"/>
    <xf numFmtId="0" fontId="0" fillId="0" borderId="0" xfId="0" applyBorder="1"/>
    <xf numFmtId="6" fontId="0" fillId="0" borderId="3" xfId="0" applyNumberFormat="1" applyBorder="1"/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8" fontId="0" fillId="0" borderId="9" xfId="0" applyNumberFormat="1" applyBorder="1" applyAlignment="1">
      <alignment horizontal="center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.uk/Inline-Blower%EF%BC%8C4-Blower-Marine-Ventilation/dp/B0932Z1LP3?source=ps-sl-shoppingads-lpcontext&amp;ref_=fplfs&amp;smid=A2KVF7QXNCLV8H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A067-A91B-4EB3-BCFB-C152B07DAFBA}">
  <dimension ref="B2:G6"/>
  <sheetViews>
    <sheetView workbookViewId="0">
      <selection activeCell="H28" sqref="H28"/>
    </sheetView>
  </sheetViews>
  <sheetFormatPr defaultRowHeight="14.25" x14ac:dyDescent="0.45"/>
  <cols>
    <col min="7" max="7" width="8.19921875" customWidth="1"/>
  </cols>
  <sheetData>
    <row r="2" spans="2:7" ht="28.5" x14ac:dyDescent="0.45">
      <c r="B2" s="1" t="s">
        <v>16</v>
      </c>
      <c r="C2" s="1" t="s">
        <v>17</v>
      </c>
      <c r="D2" s="1" t="s">
        <v>18</v>
      </c>
      <c r="E2" s="1" t="s">
        <v>2</v>
      </c>
      <c r="G2" s="1"/>
    </row>
    <row r="3" spans="2:7" ht="28.5" x14ac:dyDescent="0.45">
      <c r="B3" s="2" t="s">
        <v>19</v>
      </c>
      <c r="C3" s="2" t="s">
        <v>36</v>
      </c>
      <c r="D3" s="2" t="s">
        <v>36</v>
      </c>
      <c r="E3" s="2" t="s">
        <v>36</v>
      </c>
      <c r="G3" s="2"/>
    </row>
    <row r="4" spans="2:7" ht="28.5" x14ac:dyDescent="0.45">
      <c r="B4" s="2" t="s">
        <v>20</v>
      </c>
      <c r="C4" s="2" t="s">
        <v>36</v>
      </c>
      <c r="D4" s="2" t="s">
        <v>37</v>
      </c>
      <c r="E4" s="2" t="s">
        <v>37</v>
      </c>
      <c r="G4" s="2"/>
    </row>
    <row r="5" spans="2:7" ht="42.75" x14ac:dyDescent="0.45">
      <c r="B5" s="2" t="s">
        <v>21</v>
      </c>
      <c r="C5" s="2" t="s">
        <v>22</v>
      </c>
      <c r="D5" s="2" t="s">
        <v>38</v>
      </c>
      <c r="E5" s="2" t="s">
        <v>22</v>
      </c>
      <c r="G5" s="2"/>
    </row>
    <row r="6" spans="2:7" ht="57" x14ac:dyDescent="0.45">
      <c r="B6" s="2" t="s">
        <v>23</v>
      </c>
      <c r="C6" s="2" t="s">
        <v>37</v>
      </c>
      <c r="D6" s="2" t="s">
        <v>22</v>
      </c>
      <c r="E6" s="2" t="s">
        <v>37</v>
      </c>
      <c r="G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4B8E-02A6-4470-9501-7724AFEEBF2A}">
  <dimension ref="A1:J9"/>
  <sheetViews>
    <sheetView topLeftCell="F1" workbookViewId="0">
      <selection activeCell="J9" sqref="J9"/>
    </sheetView>
  </sheetViews>
  <sheetFormatPr defaultRowHeight="14.25" x14ac:dyDescent="0.45"/>
  <cols>
    <col min="2" max="2" width="17.19921875" bestFit="1" customWidth="1"/>
    <col min="4" max="4" width="9.59765625" bestFit="1" customWidth="1"/>
    <col min="6" max="6" width="13.19921875" bestFit="1" customWidth="1"/>
    <col min="7" max="7" width="20.796875" bestFit="1" customWidth="1"/>
    <col min="8" max="8" width="24.796875" bestFit="1" customWidth="1"/>
    <col min="9" max="9" width="24.796875" customWidth="1"/>
    <col min="10" max="10" width="159.46484375" bestFit="1" customWidth="1"/>
  </cols>
  <sheetData>
    <row r="1" spans="1:10" x14ac:dyDescent="0.45">
      <c r="A1" t="s">
        <v>0</v>
      </c>
      <c r="D1" t="s">
        <v>35</v>
      </c>
    </row>
    <row r="3" spans="1:10" x14ac:dyDescent="0.45">
      <c r="B3" s="9" t="s">
        <v>1</v>
      </c>
      <c r="C3" s="7" t="s">
        <v>11</v>
      </c>
      <c r="D3" s="7" t="s">
        <v>6</v>
      </c>
      <c r="E3" s="7" t="s">
        <v>10</v>
      </c>
      <c r="F3" s="7" t="s">
        <v>7</v>
      </c>
      <c r="G3" s="7" t="s">
        <v>9</v>
      </c>
      <c r="H3" s="7" t="s">
        <v>12</v>
      </c>
      <c r="I3" s="7"/>
      <c r="J3" s="8" t="s">
        <v>14</v>
      </c>
    </row>
    <row r="4" spans="1:10" x14ac:dyDescent="0.45">
      <c r="B4" s="10" t="s">
        <v>3</v>
      </c>
      <c r="C4">
        <v>1.44</v>
      </c>
      <c r="D4">
        <v>12</v>
      </c>
      <c r="E4" s="3" t="s">
        <v>28</v>
      </c>
      <c r="F4">
        <v>120</v>
      </c>
      <c r="G4" t="s">
        <v>25</v>
      </c>
      <c r="H4">
        <v>1.6299999999999999E-2</v>
      </c>
      <c r="I4">
        <f>H4/C4</f>
        <v>1.1319444444444444E-2</v>
      </c>
      <c r="J4" s="4" t="s">
        <v>24</v>
      </c>
    </row>
    <row r="5" spans="1:10" x14ac:dyDescent="0.45">
      <c r="B5" s="10" t="s">
        <v>4</v>
      </c>
      <c r="C5">
        <v>80</v>
      </c>
      <c r="D5">
        <v>12</v>
      </c>
      <c r="E5" t="s">
        <v>27</v>
      </c>
      <c r="F5" t="s">
        <v>26</v>
      </c>
      <c r="G5" t="s">
        <v>30</v>
      </c>
      <c r="H5">
        <v>0.7</v>
      </c>
      <c r="I5">
        <f t="shared" ref="I5:I9" si="0">H5/C5</f>
        <v>8.7499999999999991E-3</v>
      </c>
      <c r="J5" s="4" t="s">
        <v>29</v>
      </c>
    </row>
    <row r="6" spans="1:10" x14ac:dyDescent="0.45">
      <c r="B6" s="10" t="s">
        <v>31</v>
      </c>
      <c r="C6">
        <v>12</v>
      </c>
      <c r="D6" t="s">
        <v>45</v>
      </c>
      <c r="E6" t="s">
        <v>33</v>
      </c>
      <c r="F6">
        <v>100</v>
      </c>
      <c r="G6" t="s">
        <v>34</v>
      </c>
      <c r="H6">
        <v>2.1100000000000001E-2</v>
      </c>
      <c r="I6">
        <f t="shared" si="0"/>
        <v>1.7583333333333333E-3</v>
      </c>
      <c r="J6" s="4" t="s">
        <v>32</v>
      </c>
    </row>
    <row r="7" spans="1:10" x14ac:dyDescent="0.45">
      <c r="B7" s="10" t="s">
        <v>40</v>
      </c>
      <c r="C7">
        <v>5</v>
      </c>
      <c r="D7">
        <v>12</v>
      </c>
      <c r="E7">
        <v>22</v>
      </c>
      <c r="F7">
        <v>110</v>
      </c>
      <c r="G7" t="s">
        <v>41</v>
      </c>
      <c r="H7">
        <v>4.1700000000000001E-2</v>
      </c>
      <c r="I7">
        <f t="shared" si="0"/>
        <v>8.3400000000000002E-3</v>
      </c>
      <c r="J7" s="4" t="s">
        <v>39</v>
      </c>
    </row>
    <row r="8" spans="1:10" x14ac:dyDescent="0.45">
      <c r="B8" s="10" t="s">
        <v>42</v>
      </c>
      <c r="C8">
        <v>60</v>
      </c>
      <c r="D8" t="s">
        <v>45</v>
      </c>
      <c r="E8">
        <v>53</v>
      </c>
      <c r="F8">
        <v>100</v>
      </c>
      <c r="G8" t="s">
        <v>44</v>
      </c>
      <c r="H8">
        <v>9.8599999999999993E-2</v>
      </c>
      <c r="I8">
        <f t="shared" si="0"/>
        <v>1.6433333333333332E-3</v>
      </c>
      <c r="J8" s="4" t="s">
        <v>43</v>
      </c>
    </row>
    <row r="9" spans="1:10" x14ac:dyDescent="0.45">
      <c r="B9" s="11" t="s">
        <v>5</v>
      </c>
      <c r="C9" s="5">
        <v>48</v>
      </c>
      <c r="D9" s="5">
        <v>12</v>
      </c>
      <c r="E9" s="5" t="s">
        <v>27</v>
      </c>
      <c r="F9" s="5" t="s">
        <v>8</v>
      </c>
      <c r="G9" s="5" t="s">
        <v>13</v>
      </c>
      <c r="H9" s="5">
        <v>0.111</v>
      </c>
      <c r="I9">
        <f t="shared" si="0"/>
        <v>2.3124999999999999E-3</v>
      </c>
      <c r="J9" s="12" t="s">
        <v>15</v>
      </c>
    </row>
  </sheetData>
  <hyperlinks>
    <hyperlink ref="J9" r:id="rId1" xr:uid="{A6B42B7E-FADB-4275-9CAE-A4109C38D16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C7E8-D41F-4D53-A69D-327B6A7DDAE1}">
  <dimension ref="B2:D11"/>
  <sheetViews>
    <sheetView tabSelected="1" workbookViewId="0">
      <selection activeCell="N18" sqref="N18"/>
    </sheetView>
  </sheetViews>
  <sheetFormatPr defaultRowHeight="14.25" x14ac:dyDescent="0.45"/>
  <cols>
    <col min="2" max="2" width="17.3984375" bestFit="1" customWidth="1"/>
  </cols>
  <sheetData>
    <row r="2" spans="2:4" x14ac:dyDescent="0.45">
      <c r="B2" s="9" t="s">
        <v>46</v>
      </c>
      <c r="C2" s="7" t="s">
        <v>55</v>
      </c>
      <c r="D2" s="8" t="s">
        <v>56</v>
      </c>
    </row>
    <row r="3" spans="2:4" x14ac:dyDescent="0.45">
      <c r="B3" s="10" t="s">
        <v>49</v>
      </c>
      <c r="C3" s="13"/>
      <c r="D3" s="4"/>
    </row>
    <row r="4" spans="2:4" x14ac:dyDescent="0.45">
      <c r="B4" s="10" t="s">
        <v>47</v>
      </c>
      <c r="C4" s="13"/>
      <c r="D4" s="4"/>
    </row>
    <row r="5" spans="2:4" x14ac:dyDescent="0.45">
      <c r="B5" s="10" t="s">
        <v>48</v>
      </c>
      <c r="C5" s="13"/>
      <c r="D5" s="4"/>
    </row>
    <row r="6" spans="2:4" x14ac:dyDescent="0.45">
      <c r="B6" s="10" t="s">
        <v>50</v>
      </c>
      <c r="C6" s="13"/>
      <c r="D6" s="4"/>
    </row>
    <row r="7" spans="2:4" x14ac:dyDescent="0.45">
      <c r="B7" s="10" t="s">
        <v>54</v>
      </c>
      <c r="C7" s="13"/>
      <c r="D7" s="4"/>
    </row>
    <row r="8" spans="2:4" x14ac:dyDescent="0.45">
      <c r="B8" s="10" t="s">
        <v>51</v>
      </c>
      <c r="C8" s="17">
        <f>2*3.9</f>
        <v>7.8</v>
      </c>
      <c r="D8" s="16" t="s">
        <v>57</v>
      </c>
    </row>
    <row r="9" spans="2:4" x14ac:dyDescent="0.45">
      <c r="B9" s="10" t="s">
        <v>52</v>
      </c>
      <c r="C9" s="15"/>
      <c r="D9" s="16"/>
    </row>
    <row r="10" spans="2:4" x14ac:dyDescent="0.45">
      <c r="B10" s="11" t="s">
        <v>53</v>
      </c>
      <c r="C10" s="14">
        <v>13.31</v>
      </c>
      <c r="D10" s="6" t="s">
        <v>58</v>
      </c>
    </row>
    <row r="11" spans="2:4" x14ac:dyDescent="0.45">
      <c r="B11" s="18" t="s">
        <v>59</v>
      </c>
      <c r="C11" s="7">
        <f>SUM(C3:C10)</f>
        <v>21.11</v>
      </c>
      <c r="D11" s="8"/>
    </row>
  </sheetData>
  <mergeCells count="2">
    <mergeCell ref="C8:C9"/>
    <mergeCell ref="D8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Rough Options</vt:lpstr>
      <vt:lpstr>Comparison with Real Examples</vt:lpstr>
      <vt:lpstr>Budgeting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Edwicker</dc:creator>
  <cp:lastModifiedBy>James Edwicker</cp:lastModifiedBy>
  <dcterms:created xsi:type="dcterms:W3CDTF">2026-05-23T16:41:35Z</dcterms:created>
  <dcterms:modified xsi:type="dcterms:W3CDTF">2026-05-25T11:14:13Z</dcterms:modified>
</cp:coreProperties>
</file>