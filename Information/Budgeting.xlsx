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je475_cam_ac_uk/Documents/Lab work/3GM2 - Technology for the Poorest Billion/"/>
    </mc:Choice>
  </mc:AlternateContent>
  <xr:revisionPtr revIDLastSave="25" documentId="8_{ED6ABE92-D3BC-4AB8-B3FF-790CDB917A3F}" xr6:coauthVersionLast="47" xr6:coauthVersionMax="47" xr10:uidLastSave="{34AFCB12-8ECE-4256-B3F8-7046DF025A44}"/>
  <bookViews>
    <workbookView xWindow="-110" yWindow="-110" windowWidth="38620" windowHeight="21100" xr2:uid="{3032395E-424D-4788-B377-478866993A03}"/>
  </bookViews>
  <sheets>
    <sheet name="Budge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1" l="1"/>
  <c r="C15" i="1" s="1"/>
</calcChain>
</file>

<file path=xl/sharedStrings.xml><?xml version="1.0" encoding="utf-8"?>
<sst xmlns="http://schemas.openxmlformats.org/spreadsheetml/2006/main" count="40" uniqueCount="35">
  <si>
    <t>Components</t>
  </si>
  <si>
    <t>Price</t>
  </si>
  <si>
    <t>Source</t>
  </si>
  <si>
    <t>Link</t>
  </si>
  <si>
    <t>Fan/Motor</t>
  </si>
  <si>
    <t>Amazon</t>
  </si>
  <si>
    <t>Dilwe Marine Bilge Blower,Quiet Strong 12V Ventilation Fan,4 Inch In Line Electric Air Blower for Yacht Boat Caravan RV : Amazon.co.uk: Sports &amp; Outdoors</t>
  </si>
  <si>
    <t>Peltier</t>
  </si>
  <si>
    <t>https://www.amazon.co.uk/ALAMSCN-TEC1-12706-Thermoelectric-Cooling-Heatsink/dp/B0CBDH4BHL/ref=sr_1_10?dib=eyJ2IjoiMSJ9.SdjN396R8jWIR9UNV16f3FjYe6wEfqbM4VTd3OZxya46-BsiC508Cvbp-W2NH9kRH1AHTV4_HohK2f2J5JDMIInM4_B1VIxyQgeXTrW7Ws1v1NiXdnVxtBlGpzPblml3vPRAxfk9J2qIcsLjNHbv-Wwp4zByUXqiIPM2QB_7O0__uWtV0WrLrP3fCx-Itn2FyFC28WK0AxtsqIUvj-sKWga50ixVuRurcMACQI-v2JU.1wG4PdAXGVksMXwC9mfWs4XZp3xGZApFL-coIslo_xM&amp;dib_tag=se&amp;keywords=peltier+and+heatsink&amp;qid=1779714490&amp;sr=8-10</t>
  </si>
  <si>
    <t>110mm x 54mm: length of straight section, 2x 90deg turn, adaptor, 100mm diameter: length of straight section.</t>
  </si>
  <si>
    <t>Shroud/Duct PVC</t>
  </si>
  <si>
    <t>Heating Elements</t>
  </si>
  <si>
    <t>Jadeshay PTC Thermostat Heater Plate, AC/DC 12V PTC Heating Element Thermostatic Constant Temperature Aluminum Shell Ceramic Heating Plate Air Heater (2-5W 80°C) : Amazon.co.uk: Home &amp; Kitchen</t>
  </si>
  <si>
    <t>Heat Sinks</t>
  </si>
  <si>
    <t>https://www.amazon.co.uk/Heatsink-1-97x1-97x0-43-50mmx50mmx11mm-Amplifier-Transistor/dp/B0DPJTV3T1/ref=sr_1_3_sspa?dib=eyJ2IjoiMSJ9.SdjN396R8jWIR9UNV16f3FjYe6wEfqbM4VTd3OZxya46-BsiC508Cvbp-W2NH9kRH1AHTV4_HohK2f2J5JDMIInM4_B1VIxyQgeXTrW7Ws1v1NiXdnVxtBlGpzPblml3vPRAxfk9J2qIcsLjNHbv-Wwp4zByUXqiIPM2QB_7O0__uWtV0WrLrP3fCx-Itn2FyFC28WK0AxtsqIUvj-sKWga50ixVuRurcMACQI-v2JU.1wG4PdAXGVksMXwC9mfWs4XZp3xGZApFL-coIslo_xM&amp;dib_tag=se&amp;keywords=peltier+and+heatsink&amp;qid=1779714490&amp;sr=8-3-spons&amp;aref=6PFU1knfAE&amp;sp_csd=d2lkZ2V0TmFtZT1zcF9hdGY&amp;psc=1</t>
  </si>
  <si>
    <t>Humidity Sensors</t>
  </si>
  <si>
    <t>The Pi Hut</t>
  </si>
  <si>
    <t>Temperature Sensors</t>
  </si>
  <si>
    <t>Control Board</t>
  </si>
  <si>
    <t>RS-online</t>
  </si>
  <si>
    <t>ABX00033 | Arduino Nano Every with headers | RS</t>
  </si>
  <si>
    <t>H Bridge</t>
  </si>
  <si>
    <t>JZK BTS7960B 43A High Power Double DC Stepper Motor Driver Module Board H-Bridge PWM for Smart Car : Amazon.co.uk: Business, Industry &amp; Science</t>
  </si>
  <si>
    <t>Total</t>
  </si>
  <si>
    <t>Misc. Electronics</t>
  </si>
  <si>
    <t>Bread board</t>
  </si>
  <si>
    <t>Jumper wires</t>
  </si>
  <si>
    <t>USB micro-b / micro USB (depending on model of arduino)</t>
  </si>
  <si>
    <t>Misc passives</t>
  </si>
  <si>
    <t>Thermal Paste</t>
  </si>
  <si>
    <t>https://www.amazon.co.uk/Kair-110mm-Rectangular-Ducting-Length/dp/B01MZGSUAV/ref=sr_1_1?crid=3H87H60SX28CE&amp;dib=eyJ2IjoiMSJ9.XV3_0ipKCEX0Y3gId8cuS8IwtHiBRdIeTL_W7RzM6u0zWxnw2j2N-2P4m_Ffn4cAJauYYU6KMKsQsH630Lp9zbx7MLWr32fNSqsBfzVjBcVhEdDdI08mKxQDUGi-Zc9uzSsyrVg3FRuuOuxS5TkS7PCb3_uEeFcNcwz9hhsMqar5-OTswd0bPqJnF5fqqQEbCIxXnFuoX5Zpxi0rXFbmXjE1o9Y-iCNvOQrAEqJTCjHynDT8HTcauweUjssz32C9CyExzgNZoHL2r-soRuXKsv4dfz-HVgUmOO1SAZnZSwQ.g5AWbyT3bjYwJjEao6WnirjYevODjMMlI6SPR59vBiI&amp;dib_tag=se&amp;keywords=54mm%2Bx%2B100mm%2Bpvc%2Bducting&amp;qid=1779809373&amp;sprefix=54mm%2Bx%2B100mm%2Bpvc%2Bducting%2Caps%2C111&amp;sr=8-1&amp;th=1</t>
  </si>
  <si>
    <t>https://www.amazon.co.uk/Kair-Degree-Vertical-Elbow-110mm/dp/B004X4RUCK/ref=sr_1_4?crid=3BB019Z5S4AF8&amp;dib=eyJ2IjoiMSJ9.nx0U-1ApdQa_Faifg_YwbMVvIRccV7du0Cu5IyZTPnW2iYylfbJG_OyP6jNwb5ry.SKwa_HQQjxk0dqWmP13SVsiKzrjMRg1Z22betSc2Brg&amp;dib_tag=se&amp;keywords=54mm%2Bx%2B100mm%2B90%2Belbow&amp;qid=1779809394&amp;sprefix=54mm%2Bx%2B100mm%2B90%2Belbow%2Caps%2C94&amp;sr=8-4&amp;th=1</t>
  </si>
  <si>
    <t>https://www.amazon.co.uk/Kair-Offset-Straight-Rectangular-Adaptor/dp/B004X4S1K0/ref=sr_1_1?crid=13B9UX88IZN92&amp;dib=eyJ2IjoiMSJ9.b6NcHf-_Tqiu8hWlp4ixGEB43k2eV-hxrL20bzrFWl_GjHj071QN20LucGBJIEps.AmXLKxQ6PYwmGv6YCRm_EOPsVVyfS_CJbP4_PX66grg&amp;dib_tag=se&amp;keywords=54mm%2Bx%2B110mm%2Bto%2B100mm%2Bdi&amp;qid=1779809418&amp;sprefix=54mm%2Bx%2B110mm%2Bto%2B100mm%2Bdi%2Caps%2C92&amp;sr=8-1&amp;th=1</t>
  </si>
  <si>
    <t>https://www.amazon.co.uk/Kair-Plastic-Ducting-Pipe-100mm/dp/B00YLIOWXI/ref=sr_1_2_sspa?crid=279INPZQKQF91&amp;dib=eyJ2IjoiMSJ9.cCd9wZjcKZSJ81PhcjCCPX-uNYWbpBcvyVRN9O8QU9hmJ_SYZ69QPnH0uEovOiO9U_tMVo4m6iElDzLMbFS1OcfiVfZAYovKxA47m1phFHJfbeA7RbrHtz9dyd4OKdJkeq1Bjuf8m3xzMqIwI1_K6Lgm5GFdrYJ4lJXMNeo7WWfW6RhIUlPTguiQyiaL5mjjRh9RAFwK8vcoCcpKQKhX_aCIj1uR894pMuGozpueWG4FK286bKvKfkgk8ieuVZqR7LYomtGJq8ZSz6llLP_THf41q_hDwv4sCJKlvJecnw0._ougEZZqB_DtiMLKcXj8DGm9CumELT7UWA4K_5P-VUM&amp;dib_tag=se&amp;keywords=100mm%2Bdiameter%2Bpvc&amp;qid=1779809437&amp;sprefix=100mm%2Bdiameter%2Bpvc%2Caps%2C98&amp;sr=8-2-spons&amp;aref=JJ930bj3IU&amp;sp_csd=d2lkZ2V0TmFtZT1zcF9hdGY&amp;th=1</t>
  </si>
  <si>
    <t>DFR0067 | DFRobot Gravity: DHT11 Temperature &amp; Humidity Sensor For Arduino, Arduino Compatible Kit |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</si>
</sst>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" fontId="0" fillId="0" borderId="3" xfId="0" applyNumberFormat="1" applyBorder="1"/>
    <xf numFmtId="0" fontId="1" fillId="0" borderId="4" xfId="1" applyBorder="1"/>
    <xf numFmtId="0" fontId="0" fillId="0" borderId="5" xfId="0" applyBorder="1"/>
    <xf numFmtId="4" fontId="0" fillId="0" borderId="0" xfId="0" applyNumberFormat="1"/>
    <xf numFmtId="0" fontId="0" fillId="0" borderId="6" xfId="0" applyBorder="1"/>
    <xf numFmtId="0" fontId="1" fillId="0" borderId="6" xfId="1" applyBorder="1"/>
    <xf numFmtId="0" fontId="1" fillId="0" borderId="0" xfId="1"/>
    <xf numFmtId="0" fontId="0" fillId="0" borderId="7" xfId="0" applyBorder="1"/>
    <xf numFmtId="4" fontId="0" fillId="0" borderId="8" xfId="0" applyNumberFormat="1" applyBorder="1"/>
    <xf numFmtId="0" fontId="0" fillId="0" borderId="8" xfId="0" applyBorder="1"/>
    <xf numFmtId="4" fontId="0" fillId="0" borderId="7" xfId="0" applyNumberFormat="1" applyBorder="1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9" xfId="0" applyNumberFormat="1" applyBorder="1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.uk/Element-AC-Thermostatic-Aluminum-Constant-Temperature/dp/B07Y5DKHBH?th=1" TargetMode="External"/><Relationship Id="rId2" Type="http://schemas.openxmlformats.org/officeDocument/2006/relationships/hyperlink" Target="https://uk.rs-online.com/web/p/arduino/1927590" TargetMode="External"/><Relationship Id="rId1" Type="http://schemas.openxmlformats.org/officeDocument/2006/relationships/hyperlink" Target="https://www.amazon.co.uk/Marine-Blower-Electric-Ventilation-Caravan/dp/B0CT5LW2J1" TargetMode="External"/><Relationship Id="rId5" Type="http://schemas.openxmlformats.org/officeDocument/2006/relationships/hyperlink" Target="https://uk.rs-online.com/web/p/arduino-compatible-boards-kits/2163753?cm_mmc=UK-PLA-DS3A-_-google-_-CSS_UK_EN_PMAX_Catch+All-_--_-2163753&amp;matchtype=&amp;&amp;gclsrc=aw.ds&amp;gad_source=1&amp;gad_campaignid=20567417192&amp;gbraid=0AAAAADkeWNPBw2HJdbGSP8F5CHG3OnAxN&amp;gclid=CjwKCAjwrNrQBhBjEiwAoR4VO8Bs9SOyBXVKtq_twSjvQzVa5AtAmWyxczlsRe95jQtBYem2SGTG6xoCl-IQAvD_BwE" TargetMode="External"/><Relationship Id="rId4" Type="http://schemas.openxmlformats.org/officeDocument/2006/relationships/hyperlink" Target="https://www.amazon.co.uk/JZK-BTS7960B-Double-Stepper-H-Bridge/dp/B09HGBM5D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5FE3-2014-4457-B0A5-7608FF01A38C}">
  <dimension ref="A2:H23"/>
  <sheetViews>
    <sheetView tabSelected="1" workbookViewId="0">
      <selection activeCell="M25" sqref="M25"/>
    </sheetView>
  </sheetViews>
  <sheetFormatPr defaultColWidth="8.81640625" defaultRowHeight="14.5" x14ac:dyDescent="0.35"/>
  <cols>
    <col min="1" max="1" width="57.36328125" bestFit="1" customWidth="1"/>
    <col min="2" max="2" width="17.36328125" bestFit="1" customWidth="1"/>
  </cols>
  <sheetData>
    <row r="2" spans="1:8" x14ac:dyDescent="0.35">
      <c r="B2" s="1" t="s">
        <v>0</v>
      </c>
      <c r="C2" s="2" t="s">
        <v>1</v>
      </c>
      <c r="D2" s="3" t="s">
        <v>2</v>
      </c>
      <c r="E2" s="4" t="s">
        <v>3</v>
      </c>
    </row>
    <row r="3" spans="1:8" x14ac:dyDescent="0.35">
      <c r="B3" s="1" t="s">
        <v>4</v>
      </c>
      <c r="C3" s="5">
        <v>38.47</v>
      </c>
      <c r="D3" s="3" t="s">
        <v>5</v>
      </c>
      <c r="E3" s="6" t="s">
        <v>6</v>
      </c>
    </row>
    <row r="4" spans="1:8" x14ac:dyDescent="0.35">
      <c r="B4" s="7" t="s">
        <v>7</v>
      </c>
      <c r="C4" s="8">
        <v>8.9600000000000009</v>
      </c>
      <c r="D4" t="s">
        <v>5</v>
      </c>
      <c r="E4" s="9" t="s">
        <v>8</v>
      </c>
    </row>
    <row r="5" spans="1:8" x14ac:dyDescent="0.35">
      <c r="A5" t="s">
        <v>9</v>
      </c>
      <c r="B5" s="7" t="s">
        <v>10</v>
      </c>
      <c r="C5" s="18">
        <v>44.92</v>
      </c>
      <c r="D5" s="17" t="s">
        <v>5</v>
      </c>
      <c r="E5" s="10" t="s">
        <v>30</v>
      </c>
    </row>
    <row r="6" spans="1:8" x14ac:dyDescent="0.35">
      <c r="B6" s="7"/>
      <c r="C6" s="18"/>
      <c r="D6" s="17"/>
      <c r="E6" s="11" t="s">
        <v>31</v>
      </c>
      <c r="F6" s="11"/>
      <c r="G6" s="11"/>
      <c r="H6" s="11"/>
    </row>
    <row r="7" spans="1:8" x14ac:dyDescent="0.35">
      <c r="B7" s="7"/>
      <c r="C7" s="18"/>
      <c r="D7" s="17"/>
      <c r="E7" s="11" t="s">
        <v>32</v>
      </c>
      <c r="F7" s="11"/>
      <c r="G7" s="11"/>
      <c r="H7" s="11"/>
    </row>
    <row r="8" spans="1:8" x14ac:dyDescent="0.35">
      <c r="B8" s="7"/>
      <c r="C8" s="18"/>
      <c r="D8" s="17"/>
      <c r="E8" s="11" t="s">
        <v>33</v>
      </c>
      <c r="F8" s="11"/>
      <c r="G8" s="11"/>
      <c r="H8" s="11"/>
    </row>
    <row r="9" spans="1:8" x14ac:dyDescent="0.35">
      <c r="B9" s="7" t="s">
        <v>11</v>
      </c>
      <c r="C9" s="8">
        <v>5.89</v>
      </c>
      <c r="D9" t="s">
        <v>5</v>
      </c>
      <c r="E9" s="11" t="s">
        <v>12</v>
      </c>
    </row>
    <row r="10" spans="1:8" x14ac:dyDescent="0.35">
      <c r="B10" s="7" t="s">
        <v>13</v>
      </c>
      <c r="C10" s="8">
        <v>8.19</v>
      </c>
      <c r="D10" t="s">
        <v>5</v>
      </c>
      <c r="E10" s="9" t="s">
        <v>14</v>
      </c>
    </row>
    <row r="11" spans="1:8" x14ac:dyDescent="0.35">
      <c r="B11" s="7" t="s">
        <v>15</v>
      </c>
      <c r="C11" s="16">
        <f>2*7.12</f>
        <v>14.24</v>
      </c>
      <c r="D11" s="17" t="s">
        <v>16</v>
      </c>
      <c r="E11" s="19" t="s">
        <v>34</v>
      </c>
    </row>
    <row r="12" spans="1:8" x14ac:dyDescent="0.35">
      <c r="B12" s="7" t="s">
        <v>17</v>
      </c>
      <c r="C12" s="16"/>
      <c r="D12" s="17"/>
      <c r="E12" s="19"/>
    </row>
    <row r="13" spans="1:8" x14ac:dyDescent="0.35">
      <c r="B13" s="7" t="s">
        <v>18</v>
      </c>
      <c r="C13" s="8">
        <v>13.31</v>
      </c>
      <c r="D13" t="s">
        <v>19</v>
      </c>
      <c r="E13" s="10" t="s">
        <v>20</v>
      </c>
    </row>
    <row r="14" spans="1:8" x14ac:dyDescent="0.35">
      <c r="B14" s="12" t="s">
        <v>21</v>
      </c>
      <c r="C14" s="13">
        <v>7.19</v>
      </c>
      <c r="D14" s="14" t="s">
        <v>5</v>
      </c>
      <c r="E14" s="11" t="s">
        <v>22</v>
      </c>
    </row>
    <row r="15" spans="1:8" x14ac:dyDescent="0.35">
      <c r="B15" s="12" t="s">
        <v>23</v>
      </c>
      <c r="C15" s="15">
        <f>SUM(C3:C13)</f>
        <v>133.97999999999999</v>
      </c>
    </row>
    <row r="18" spans="2:2" x14ac:dyDescent="0.35">
      <c r="B18" t="s">
        <v>24</v>
      </c>
    </row>
    <row r="19" spans="2:2" x14ac:dyDescent="0.35">
      <c r="B19" t="s">
        <v>25</v>
      </c>
    </row>
    <row r="20" spans="2:2" x14ac:dyDescent="0.35">
      <c r="B20" t="s">
        <v>26</v>
      </c>
    </row>
    <row r="21" spans="2:2" x14ac:dyDescent="0.35">
      <c r="B21" t="s">
        <v>27</v>
      </c>
    </row>
    <row r="22" spans="2:2" x14ac:dyDescent="0.35">
      <c r="B22" t="s">
        <v>28</v>
      </c>
    </row>
    <row r="23" spans="2:2" x14ac:dyDescent="0.35">
      <c r="B23" t="s">
        <v>29</v>
      </c>
    </row>
  </sheetData>
  <mergeCells count="5">
    <mergeCell ref="E11:E12"/>
    <mergeCell ref="C11:C12"/>
    <mergeCell ref="D11:D12"/>
    <mergeCell ref="C5:C8"/>
    <mergeCell ref="D5:D8"/>
  </mergeCells>
  <hyperlinks>
    <hyperlink ref="E3" r:id="rId1" display="https://www.amazon.co.uk/Marine-Blower-Electric-Ventilation-Caravan/dp/B0CT5LW2J1" xr:uid="{D3AEB23F-C33D-4949-8A4E-8C09F4EFC3B0}"/>
    <hyperlink ref="E13" r:id="rId2" display="https://uk.rs-online.com/web/p/arduino/1927590" xr:uid="{20D9A4A5-4B10-42BD-A677-50DB16AB71F2}"/>
    <hyperlink ref="E9" r:id="rId3" display="https://www.amazon.co.uk/Element-AC-Thermostatic-Aluminum-Constant-Temperature/dp/B07Y5DKHBH?th=1" xr:uid="{29AD6C15-E6A8-466F-A71B-EC60316FD0B1}"/>
    <hyperlink ref="E14" r:id="rId4" display="https://www.amazon.co.uk/JZK-BTS7960B-Double-Stepper-H-Bridge/dp/B09HGBM5D2" xr:uid="{A8CE91F6-21B6-4EFF-AF34-6054ABF3441D}"/>
    <hyperlink ref="E11" r:id="rId5" display="https://uk.rs-online.com/web/p/arduino-compatible-boards-kits/2163753?cm_mmc=UK-PLA-DS3A-_-google-_-CSS_UK_EN_PMAX_Catch+All-_--_-2163753&amp;matchtype=&amp;&amp;gclsrc=aw.ds&amp;gad_source=1&amp;gad_campaignid=20567417192&amp;gbraid=0AAAAADkeWNPBw2HJdbGSP8F5CHG3OnAxN&amp;gclid=CjwKCAjwrNrQBhBjEiwAoR4VO8Bs9SOyBXVKtq_twSjvQzVa5AtAmWyxczlsRe95jQtBYem2SGTG6xoCl-IQAvD_BwE" xr:uid="{225427A8-82CF-49B6-868D-4EA3C54AF4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Edwicker</dc:creator>
  <cp:lastModifiedBy>James Edwicker</cp:lastModifiedBy>
  <dcterms:created xsi:type="dcterms:W3CDTF">2026-05-26T14:12:19Z</dcterms:created>
  <dcterms:modified xsi:type="dcterms:W3CDTF">2026-05-28T11:52:52Z</dcterms:modified>
</cp:coreProperties>
</file>